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amt-Spielplan" sheetId="1" state="visible" r:id="rId1"/>
  </sheets>
  <definedNames>
    <definedName name="_xlnm._FilterDatabase" localSheetId="0" hidden="1">'Gesamt-Spielplan'!$A$6:$U$36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9"/>
    </font>
  </fonts>
  <fills count="41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FFFFBA"/>
        <bgColor rgb="00FFF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  <fill>
      <patternFill patternType="solid">
        <fgColor rgb="00E8C5FF"/>
        <bgColor rgb="00E8C5FF"/>
      </patternFill>
    </fill>
    <fill>
      <patternFill patternType="solid">
        <fgColor rgb="00FFC5EC"/>
        <bgColor rgb="00FFC5EC"/>
      </patternFill>
    </fill>
    <fill>
      <patternFill patternType="solid">
        <fgColor rgb="00D0F0C0"/>
        <bgColor rgb="00D0F0C0"/>
      </patternFill>
    </fill>
    <fill>
      <patternFill patternType="solid">
        <fgColor rgb="00FFE4E1"/>
        <bgColor rgb="00FFE4E1"/>
      </patternFill>
    </fill>
    <fill>
      <patternFill patternType="solid">
        <fgColor rgb="00E6E6FA"/>
        <bgColor rgb="00E6E6FA"/>
      </patternFill>
    </fill>
    <fill>
      <patternFill patternType="solid">
        <fgColor rgb="00F0E68C"/>
        <bgColor rgb="00F0E68C"/>
      </patternFill>
    </fill>
    <fill>
      <patternFill patternType="solid">
        <fgColor rgb="00D8BFD8"/>
        <bgColor rgb="00D8BFD8"/>
      </patternFill>
    </fill>
    <fill>
      <patternFill patternType="solid">
        <fgColor rgb="00B0E0E6"/>
        <bgColor rgb="00B0E0E6"/>
      </patternFill>
    </fill>
    <fill>
      <patternFill patternType="solid">
        <fgColor rgb="00FFD700"/>
        <bgColor rgb="00FFD700"/>
      </patternFill>
    </fill>
    <fill>
      <patternFill patternType="solid">
        <fgColor rgb="00FFDAB9"/>
        <bgColor rgb="00FFDAB9"/>
      </patternFill>
    </fill>
    <fill>
      <patternFill patternType="solid">
        <fgColor rgb="00E0EEE0"/>
        <bgColor rgb="00E0EEE0"/>
      </patternFill>
    </fill>
    <fill>
      <patternFill patternType="solid">
        <fgColor rgb="00F4A460"/>
        <bgColor rgb="00F4A460"/>
      </patternFill>
    </fill>
    <fill>
      <patternFill patternType="solid">
        <fgColor rgb="00C1E1C1"/>
        <bgColor rgb="00C1E1C1"/>
      </patternFill>
    </fill>
    <fill>
      <patternFill patternType="solid">
        <fgColor rgb="001F497D"/>
        <bgColor rgb="001F497D"/>
      </patternFill>
    </fill>
    <fill>
      <patternFill patternType="solid">
        <fgColor rgb="00D9D9D9"/>
        <bgColor rgb="00D9D9D9"/>
      </patternFill>
    </fill>
    <fill>
      <patternFill patternType="solid">
        <fgColor rgb="00FFE8EB"/>
        <bgColor rgb="00FFE8EB"/>
      </patternFill>
    </fill>
    <fill>
      <patternFill patternType="solid">
        <fgColor rgb="00FFF3EB"/>
        <bgColor rgb="00FFF3EB"/>
      </patternFill>
    </fill>
    <fill>
      <patternFill patternType="solid">
        <fgColor rgb="00FFFFEB"/>
        <bgColor rgb="00FFFFEB"/>
      </patternFill>
    </fill>
    <fill>
      <patternFill patternType="solid">
        <fgColor rgb="00EAFBEF"/>
        <bgColor rgb="00EAFBEF"/>
      </patternFill>
    </fill>
    <fill>
      <patternFill patternType="solid">
        <fgColor rgb="00EAF4FF"/>
        <bgColor rgb="00EAF4FF"/>
      </patternFill>
    </fill>
    <fill>
      <patternFill patternType="solid">
        <fgColor rgb="00F8EBFD"/>
        <bgColor rgb="00F8EBFD"/>
      </patternFill>
    </fill>
    <fill>
      <patternFill patternType="solid">
        <fgColor rgb="00FFEBF8"/>
        <bgColor rgb="00FFEBF8"/>
      </patternFill>
    </fill>
    <fill>
      <patternFill patternType="solid">
        <fgColor rgb="00EDF8E8"/>
        <bgColor rgb="00EDF8E8"/>
      </patternFill>
    </fill>
    <fill>
      <patternFill patternType="solid">
        <fgColor rgb="00FFF3F2"/>
        <bgColor rgb="00FFF3F2"/>
      </patternFill>
    </fill>
    <fill>
      <patternFill patternType="solid">
        <fgColor rgb="00F5F5FC"/>
        <bgColor rgb="00F5F5FC"/>
      </patternFill>
    </fill>
    <fill>
      <patternFill patternType="solid">
        <fgColor rgb="00F9F6D7"/>
        <bgColor rgb="00F9F6D7"/>
      </patternFill>
    </fill>
    <fill>
      <patternFill patternType="solid">
        <fgColor rgb="00F2E8F2"/>
        <bgColor rgb="00F2E8F2"/>
      </patternFill>
    </fill>
    <fill>
      <patternFill patternType="solid">
        <fgColor rgb="00ECF6F8"/>
        <bgColor rgb="00ECF6F8"/>
      </patternFill>
    </fill>
    <fill>
      <patternFill patternType="solid">
        <fgColor rgb="00FFF3B3"/>
        <bgColor rgb="00FFF3B3"/>
      </patternFill>
    </fill>
    <fill>
      <patternFill patternType="solid">
        <fgColor rgb="00FFF0E3"/>
        <bgColor rgb="00FFF0E3"/>
      </patternFill>
    </fill>
    <fill>
      <patternFill patternType="solid">
        <fgColor rgb="00F3F8F3"/>
        <bgColor rgb="00F3F8F3"/>
      </patternFill>
    </fill>
    <fill>
      <patternFill patternType="solid">
        <fgColor rgb="00FBDBC2"/>
        <bgColor rgb="00FBDBC2"/>
      </patternFill>
    </fill>
    <fill>
      <patternFill patternType="solid">
        <fgColor rgb="00EAF3EA"/>
        <bgColor rgb="00EAF3EA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medium">
        <color rgb="000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D9D9D9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000000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medium">
        <color rgb="00000000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2" borderId="3" applyAlignment="1" pivotButton="0" quotePrefix="0" xfId="0">
      <alignment horizontal="center" vertical="center"/>
    </xf>
    <xf numFmtId="0" fontId="2" fillId="13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center" vertical="center"/>
    </xf>
    <xf numFmtId="0" fontId="2" fillId="15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0" fontId="2" fillId="18" borderId="3" applyAlignment="1" pivotButton="0" quotePrefix="0" xfId="0">
      <alignment horizontal="center" vertical="center"/>
    </xf>
    <xf numFmtId="0" fontId="2" fillId="19" borderId="3" applyAlignment="1" pivotButton="0" quotePrefix="0" xfId="0">
      <alignment horizontal="center" vertical="center"/>
    </xf>
    <xf numFmtId="0" fontId="2" fillId="20" borderId="3" applyAlignment="1" pivotButton="0" quotePrefix="0" xfId="0">
      <alignment horizontal="center" vertical="center"/>
    </xf>
    <xf numFmtId="0" fontId="3" fillId="21" borderId="4" applyAlignment="1" pivotButton="0" quotePrefix="0" xfId="0">
      <alignment horizontal="center" vertical="center"/>
    </xf>
    <xf numFmtId="0" fontId="3" fillId="21" borderId="5" applyAlignment="1" pivotButton="0" quotePrefix="0" xfId="0">
      <alignment horizontal="center" vertical="center"/>
    </xf>
    <xf numFmtId="0" fontId="3" fillId="21" borderId="6" applyAlignment="1" pivotButton="0" quotePrefix="0" xfId="0">
      <alignment horizontal="center" vertical="center"/>
    </xf>
    <xf numFmtId="0" fontId="3" fillId="22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0" fontId="2" fillId="23" borderId="9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2" fillId="24" borderId="8" applyAlignment="1" pivotButton="0" quotePrefix="0" xfId="0">
      <alignment horizontal="center" vertical="center"/>
    </xf>
    <xf numFmtId="0" fontId="4" fillId="22" borderId="10" applyAlignment="1" pivotButton="0" quotePrefix="0" xfId="0">
      <alignment horizontal="center" vertical="center"/>
    </xf>
    <xf numFmtId="0" fontId="2" fillId="25" borderId="9" applyAlignment="1" pivotButton="0" quotePrefix="0" xfId="0">
      <alignment horizontal="center" vertical="center"/>
    </xf>
    <xf numFmtId="0" fontId="2" fillId="26" borderId="8" applyAlignment="1" pivotButton="0" quotePrefix="0" xfId="0">
      <alignment horizontal="center" vertical="center"/>
    </xf>
    <xf numFmtId="0" fontId="2" fillId="27" borderId="9" applyAlignment="1" pivotButton="0" quotePrefix="0" xfId="0">
      <alignment horizontal="center" vertical="center"/>
    </xf>
    <xf numFmtId="0" fontId="2" fillId="28" borderId="8" applyAlignment="1" pivotButton="0" quotePrefix="0" xfId="0">
      <alignment horizontal="center" vertical="center"/>
    </xf>
    <xf numFmtId="0" fontId="2" fillId="28" borderId="7" applyAlignment="1" pivotButton="0" quotePrefix="0" xfId="0">
      <alignment horizontal="center" vertical="center"/>
    </xf>
    <xf numFmtId="0" fontId="2" fillId="29" borderId="7" applyAlignment="1" pivotButton="0" quotePrefix="0" xfId="0">
      <alignment horizontal="center" vertical="center"/>
    </xf>
    <xf numFmtId="0" fontId="2" fillId="3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9" borderId="9" applyAlignment="1" pivotButton="0" quotePrefix="0" xfId="0">
      <alignment horizontal="center" vertical="center"/>
    </xf>
    <xf numFmtId="0" fontId="2" fillId="31" borderId="9" applyAlignment="1" pivotButton="0" quotePrefix="0" xfId="0">
      <alignment horizontal="center" vertical="center"/>
    </xf>
    <xf numFmtId="0" fontId="2" fillId="32" borderId="7" applyAlignment="1" pivotButton="0" quotePrefix="0" xfId="0">
      <alignment horizontal="center" vertical="center"/>
    </xf>
    <xf numFmtId="0" fontId="2" fillId="33" borderId="7" applyAlignment="1" pivotButton="0" quotePrefix="0" xfId="0">
      <alignment horizontal="center" vertical="center"/>
    </xf>
    <xf numFmtId="0" fontId="2" fillId="34" borderId="8" applyAlignment="1" pivotButton="0" quotePrefix="0" xfId="0">
      <alignment horizontal="center" vertical="center"/>
    </xf>
    <xf numFmtId="0" fontId="2" fillId="32" borderId="8" applyAlignment="1" pivotButton="0" quotePrefix="0" xfId="0">
      <alignment horizontal="center" vertical="center"/>
    </xf>
    <xf numFmtId="0" fontId="2" fillId="35" borderId="9" applyAlignment="1" pivotButton="0" quotePrefix="0" xfId="0">
      <alignment horizontal="center" vertical="center"/>
    </xf>
    <xf numFmtId="0" fontId="2" fillId="36" borderId="7" applyAlignment="1" pivotButton="0" quotePrefix="0" xfId="0">
      <alignment horizontal="center" vertical="center"/>
    </xf>
    <xf numFmtId="0" fontId="2" fillId="37" borderId="7" applyAlignment="1" pivotButton="0" quotePrefix="0" xfId="0">
      <alignment horizontal="center" vertical="center"/>
    </xf>
    <xf numFmtId="0" fontId="2" fillId="38" borderId="8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0" fontId="2" fillId="39" borderId="9" applyAlignment="1" pivotButton="0" quotePrefix="0" xfId="0">
      <alignment horizontal="center" vertical="center"/>
    </xf>
    <xf numFmtId="0" fontId="2" fillId="40" borderId="7" applyAlignment="1" pivotButton="0" quotePrefix="0" xfId="0">
      <alignment horizontal="center" vertical="center"/>
    </xf>
    <xf numFmtId="0" fontId="2" fillId="23" borderId="7" applyAlignment="1" pivotButton="0" quotePrefix="0" xfId="0">
      <alignment horizontal="center" vertical="center"/>
    </xf>
    <xf numFmtId="0" fontId="2" fillId="36" borderId="8" applyAlignment="1" pivotButton="0" quotePrefix="0" xfId="0">
      <alignment horizontal="center" vertical="center"/>
    </xf>
    <xf numFmtId="0" fontId="2" fillId="26" borderId="7" applyAlignment="1" pivotButton="0" quotePrefix="0" xfId="0">
      <alignment horizontal="center" vertical="center"/>
    </xf>
    <xf numFmtId="0" fontId="2" fillId="27" borderId="7" applyAlignment="1" pivotButton="0" quotePrefix="0" xfId="0">
      <alignment horizontal="center" vertical="center"/>
    </xf>
    <xf numFmtId="0" fontId="2" fillId="37" borderId="9" applyAlignment="1" pivotButton="0" quotePrefix="0" xfId="0">
      <alignment horizontal="center" vertical="center"/>
    </xf>
    <xf numFmtId="0" fontId="2" fillId="30" borderId="7" applyAlignment="1" pivotButton="0" quotePrefix="0" xfId="0">
      <alignment horizontal="center" vertical="center"/>
    </xf>
    <xf numFmtId="0" fontId="2" fillId="31" borderId="7" applyAlignment="1" pivotButton="0" quotePrefix="0" xfId="0">
      <alignment horizontal="center" vertical="center"/>
    </xf>
    <xf numFmtId="0" fontId="2" fillId="15" borderId="9" applyAlignment="1" pivotButton="0" quotePrefix="0" xfId="0">
      <alignment horizontal="center" vertical="center"/>
    </xf>
    <xf numFmtId="0" fontId="2" fillId="16" borderId="8" applyAlignment="1" pivotButton="0" quotePrefix="0" xfId="0">
      <alignment horizontal="center" vertical="center"/>
    </xf>
    <xf numFmtId="0" fontId="2" fillId="17" borderId="9" applyAlignment="1" pivotButton="0" quotePrefix="0" xfId="0">
      <alignment horizontal="center" vertical="center"/>
    </xf>
    <xf numFmtId="0" fontId="2" fillId="18" borderId="8" applyAlignment="1" pivotButton="0" quotePrefix="0" xfId="0">
      <alignment horizontal="center" vertical="center"/>
    </xf>
    <xf numFmtId="0" fontId="2" fillId="19" borderId="9" applyAlignment="1" pivotButton="0" quotePrefix="0" xfId="0">
      <alignment horizontal="center" vertical="center"/>
    </xf>
    <xf numFmtId="0" fontId="2" fillId="20" borderId="8" applyAlignment="1" pivotButton="0" quotePrefix="0" xfId="0">
      <alignment horizontal="center" vertical="center"/>
    </xf>
    <xf numFmtId="0" fontId="2" fillId="13" borderId="9" applyAlignment="1" pivotButton="0" quotePrefix="0" xfId="0">
      <alignment horizontal="center" vertical="center"/>
    </xf>
    <xf numFmtId="0" fontId="2" fillId="14" borderId="7" applyAlignment="1" pivotButton="0" quotePrefix="0" xfId="0">
      <alignment horizontal="center" vertical="center"/>
    </xf>
    <xf numFmtId="0" fontId="2" fillId="15" borderId="7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18" borderId="7" applyAlignment="1" pivotButton="0" quotePrefix="0" xfId="0">
      <alignment horizontal="center" vertical="center"/>
    </xf>
    <xf numFmtId="0" fontId="2" fillId="19" borderId="7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  <xf numFmtId="0" fontId="2" fillId="11" borderId="9" applyAlignment="1" pivotButton="0" quotePrefix="0" xfId="0">
      <alignment horizontal="center" vertical="center"/>
    </xf>
    <xf numFmtId="0" fontId="2" fillId="12" borderId="7" applyAlignment="1" pivotButton="0" quotePrefix="0" xfId="0">
      <alignment horizontal="center" vertical="center"/>
    </xf>
    <xf numFmtId="0" fontId="2" fillId="13" borderId="7" applyAlignment="1" pivotButton="0" quotePrefix="0" xfId="0">
      <alignment horizontal="center" vertical="center"/>
    </xf>
    <xf numFmtId="0" fontId="2" fillId="14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2" fillId="16" borderId="7" applyAlignment="1" pivotButton="0" quotePrefix="0" xfId="0">
      <alignment horizontal="center" vertical="center"/>
    </xf>
    <xf numFmtId="0" fontId="2" fillId="17" borderId="7" applyAlignment="1" pivotButton="0" quotePrefix="0" xfId="0">
      <alignment horizontal="center" vertical="center"/>
    </xf>
    <xf numFmtId="0" fontId="2" fillId="20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5" customWidth="1" min="4" max="4"/>
    <col width="16" customWidth="1" min="5" max="5"/>
    <col width="3" customWidth="1" min="6" max="6"/>
    <col width="16" customWidth="1" min="7" max="7"/>
    <col width="5" customWidth="1" min="8" max="8"/>
    <col width="16" customWidth="1" min="9" max="9"/>
    <col width="3" customWidth="1" min="10" max="10"/>
    <col width="16" customWidth="1" min="11" max="11"/>
    <col width="5" customWidth="1" min="12" max="12"/>
    <col width="16" customWidth="1" min="13" max="13"/>
    <col width="3" customWidth="1" min="14" max="14"/>
    <col width="16" customWidth="1" min="15" max="15"/>
    <col width="16" customWidth="1" min="16" max="16"/>
    <col width="5" customWidth="1" min="17" max="17"/>
    <col width="16" customWidth="1" min="18" max="18"/>
    <col width="16" customWidth="1" min="19" max="19"/>
    <col width="14" customWidth="1" min="20" max="20"/>
    <col width="14" customWidth="1" min="21" max="21"/>
  </cols>
  <sheetData>
    <row r="1">
      <c r="A1" s="1" t="inlineStr">
        <is>
          <t>Tennis-Spielplan Wintersaison 2026/2027</t>
        </is>
      </c>
    </row>
    <row r="3">
      <c r="C3" s="2" t="inlineStr">
        <is>
          <t>ALLE</t>
        </is>
      </c>
      <c r="E3" s="3" t="inlineStr">
        <is>
          <t>Beumer</t>
        </is>
      </c>
      <c r="G3" s="4" t="inlineStr">
        <is>
          <t>Dedores</t>
        </is>
      </c>
      <c r="I3" s="5" t="inlineStr">
        <is>
          <t>Heyn</t>
        </is>
      </c>
      <c r="K3" s="6" t="inlineStr">
        <is>
          <t>Hinz</t>
        </is>
      </c>
      <c r="M3" s="7" t="inlineStr">
        <is>
          <t>Kuhlhoff</t>
        </is>
      </c>
      <c r="O3" s="8" t="inlineStr">
        <is>
          <t>Marschollek</t>
        </is>
      </c>
      <c r="P3" s="9" t="inlineStr">
        <is>
          <t>Nolte</t>
        </is>
      </c>
      <c r="R3" s="10" t="inlineStr">
        <is>
          <t>Weber</t>
        </is>
      </c>
      <c r="S3" s="11" t="inlineStr">
        <is>
          <t>Prodehl</t>
        </is>
      </c>
      <c r="V3" t="inlineStr">
        <is>
          <t>ALLE</t>
        </is>
      </c>
    </row>
    <row r="4">
      <c r="E4" s="12" t="inlineStr">
        <is>
          <t>Hansmann</t>
        </is>
      </c>
      <c r="G4" s="13" t="inlineStr">
        <is>
          <t>Trojanski</t>
        </is>
      </c>
      <c r="I4" s="14" t="inlineStr">
        <is>
          <t>van de Loo</t>
        </is>
      </c>
      <c r="K4" s="15" t="inlineStr">
        <is>
          <t>Wojtanowtisch</t>
        </is>
      </c>
      <c r="M4" s="16" t="inlineStr">
        <is>
          <t>Knust</t>
        </is>
      </c>
      <c r="O4" s="17" t="inlineStr">
        <is>
          <t>Rumpf</t>
        </is>
      </c>
      <c r="P4" s="18" t="inlineStr">
        <is>
          <t>Mönning</t>
        </is>
      </c>
      <c r="R4" s="19" t="inlineStr">
        <is>
          <t>Redieker</t>
        </is>
      </c>
      <c r="S4" s="20" t="inlineStr">
        <is>
          <t>Höttinger</t>
        </is>
      </c>
      <c r="V4" t="inlineStr">
        <is>
          <t>Beumer</t>
        </is>
      </c>
    </row>
    <row r="5">
      <c r="V5" t="inlineStr">
        <is>
          <t>Dedores</t>
        </is>
      </c>
    </row>
    <row r="6">
      <c r="A6" s="21" t="inlineStr">
        <is>
          <t>Spieltag</t>
        </is>
      </c>
      <c r="B6" s="22" t="inlineStr">
        <is>
          <t>Datum</t>
        </is>
      </c>
      <c r="C6" s="23" t="inlineStr">
        <is>
          <t>Platz 1: Sp. 1</t>
        </is>
      </c>
      <c r="D6" s="21" t="inlineStr">
        <is>
          <t>vs</t>
        </is>
      </c>
      <c r="E6" s="21" t="inlineStr">
        <is>
          <t>Platz 1: Sp. 2</t>
        </is>
      </c>
      <c r="F6" s="24" t="inlineStr">
        <is>
          <t>|</t>
        </is>
      </c>
      <c r="G6" s="23" t="inlineStr">
        <is>
          <t>Platz 2: Sp. 1</t>
        </is>
      </c>
      <c r="H6" s="21" t="inlineStr">
        <is>
          <t>vs</t>
        </is>
      </c>
      <c r="I6" s="21" t="inlineStr">
        <is>
          <t>Platz 2: Sp. 2</t>
        </is>
      </c>
      <c r="J6" s="24" t="inlineStr">
        <is>
          <t>|</t>
        </is>
      </c>
      <c r="K6" s="23" t="inlineStr">
        <is>
          <t>Platz 3: Sp. 1</t>
        </is>
      </c>
      <c r="L6" s="21" t="inlineStr">
        <is>
          <t>vs</t>
        </is>
      </c>
      <c r="M6" s="21" t="inlineStr">
        <is>
          <t>Platz 3: Sp. 2</t>
        </is>
      </c>
      <c r="N6" s="24" t="inlineStr">
        <is>
          <t>|</t>
        </is>
      </c>
      <c r="O6" s="23" t="inlineStr">
        <is>
          <t>Doppel T1 (Sp. 1)</t>
        </is>
      </c>
      <c r="P6" s="21" t="inlineStr">
        <is>
          <t>Doppel T1 (Sp. 2)</t>
        </is>
      </c>
      <c r="Q6" s="21" t="inlineStr">
        <is>
          <t>vs</t>
        </is>
      </c>
      <c r="R6" s="21" t="inlineStr">
        <is>
          <t>Doppel T2 (Sp. 1)</t>
        </is>
      </c>
      <c r="S6" s="22" t="inlineStr">
        <is>
          <t>Doppel T2 (Sp. 2)</t>
        </is>
      </c>
      <c r="T6" s="21" t="inlineStr">
        <is>
          <t>Status</t>
        </is>
      </c>
      <c r="U6" s="21" t="inlineStr">
        <is>
          <t>Involviert?</t>
        </is>
      </c>
      <c r="V6" t="inlineStr">
        <is>
          <t>Heyn</t>
        </is>
      </c>
    </row>
    <row r="7">
      <c r="A7" s="25" t="n">
        <v>1</v>
      </c>
      <c r="B7" s="95" t="n">
        <v>46301</v>
      </c>
      <c r="C7" s="27" t="inlineStr">
        <is>
          <t>Beumer</t>
        </is>
      </c>
      <c r="D7" s="28" t="inlineStr">
        <is>
          <t>vs</t>
        </is>
      </c>
      <c r="E7" s="29" t="inlineStr">
        <is>
          <t>Dedores</t>
        </is>
      </c>
      <c r="F7" s="30" t="inlineStr"/>
      <c r="G7" s="31" t="inlineStr">
        <is>
          <t>Heyn</t>
        </is>
      </c>
      <c r="H7" s="28" t="inlineStr">
        <is>
          <t>vs</t>
        </is>
      </c>
      <c r="I7" s="32" t="inlineStr">
        <is>
          <t>Hinz</t>
        </is>
      </c>
      <c r="J7" s="30" t="inlineStr"/>
      <c r="K7" s="33" t="inlineStr">
        <is>
          <t>Kuhlhoff</t>
        </is>
      </c>
      <c r="L7" s="28" t="inlineStr">
        <is>
          <t>vs</t>
        </is>
      </c>
      <c r="M7" s="34" t="inlineStr">
        <is>
          <t>Marschollek</t>
        </is>
      </c>
      <c r="N7" s="30" t="inlineStr"/>
      <c r="O7" s="33" t="inlineStr">
        <is>
          <t>Kuhlhoff</t>
        </is>
      </c>
      <c r="P7" s="35" t="inlineStr">
        <is>
          <t>Marschollek</t>
        </is>
      </c>
      <c r="Q7" s="28" t="inlineStr">
        <is>
          <t>vs</t>
        </is>
      </c>
      <c r="R7" s="36" t="inlineStr">
        <is>
          <t>Nolte</t>
        </is>
      </c>
      <c r="S7" s="37" t="inlineStr">
        <is>
          <t>Weber</t>
        </is>
      </c>
      <c r="T7" s="25" t="inlineStr">
        <is>
          <t>Geplant</t>
        </is>
      </c>
      <c r="U7" s="38">
        <f>IF($C$3="ALLE", "JA", IF(COUNTIF(C7:S7, $C$3)&gt;0, "JA", "NEIN"))</f>
        <v/>
      </c>
      <c r="V7" t="inlineStr">
        <is>
          <t>Hinz</t>
        </is>
      </c>
    </row>
    <row r="8">
      <c r="A8" s="25" t="n">
        <v>2</v>
      </c>
      <c r="B8" s="95" t="n">
        <v>46308</v>
      </c>
      <c r="C8" s="31" t="inlineStr">
        <is>
          <t>Heyn</t>
        </is>
      </c>
      <c r="D8" s="28" t="inlineStr">
        <is>
          <t>vs</t>
        </is>
      </c>
      <c r="E8" s="32" t="inlineStr">
        <is>
          <t>Hinz</t>
        </is>
      </c>
      <c r="F8" s="30" t="inlineStr"/>
      <c r="G8" s="33" t="inlineStr">
        <is>
          <t>Kuhlhoff</t>
        </is>
      </c>
      <c r="H8" s="28" t="inlineStr">
        <is>
          <t>vs</t>
        </is>
      </c>
      <c r="I8" s="34" t="inlineStr">
        <is>
          <t>Marschollek</t>
        </is>
      </c>
      <c r="J8" s="30" t="inlineStr"/>
      <c r="K8" s="39" t="inlineStr">
        <is>
          <t>Nolte</t>
        </is>
      </c>
      <c r="L8" s="28" t="inlineStr">
        <is>
          <t>vs</t>
        </is>
      </c>
      <c r="M8" s="37" t="inlineStr">
        <is>
          <t>Weber</t>
        </is>
      </c>
      <c r="N8" s="30" t="inlineStr"/>
      <c r="O8" s="40" t="inlineStr">
        <is>
          <t>Prodehl</t>
        </is>
      </c>
      <c r="P8" s="41" t="inlineStr">
        <is>
          <t>Hansmann</t>
        </is>
      </c>
      <c r="Q8" s="28" t="inlineStr">
        <is>
          <t>vs</t>
        </is>
      </c>
      <c r="R8" s="42" t="inlineStr">
        <is>
          <t>Trojanski</t>
        </is>
      </c>
      <c r="S8" s="43" t="inlineStr">
        <is>
          <t>van de Loo</t>
        </is>
      </c>
      <c r="T8" s="25" t="inlineStr">
        <is>
          <t>Geplant</t>
        </is>
      </c>
      <c r="U8" s="38">
        <f>IF($C$3="ALLE", "JA", IF(COUNTIF(C8:S8, $C$3)&gt;0, "JA", "NEIN"))</f>
        <v/>
      </c>
      <c r="V8" t="inlineStr">
        <is>
          <t>Kuhlhoff</t>
        </is>
      </c>
    </row>
    <row r="9">
      <c r="A9" s="25" t="n">
        <v>3</v>
      </c>
      <c r="B9" s="95" t="n">
        <v>46315</v>
      </c>
      <c r="C9" s="33" t="inlineStr">
        <is>
          <t>Kuhlhoff</t>
        </is>
      </c>
      <c r="D9" s="28" t="inlineStr">
        <is>
          <t>vs</t>
        </is>
      </c>
      <c r="E9" s="34" t="inlineStr">
        <is>
          <t>Marschollek</t>
        </is>
      </c>
      <c r="F9" s="30" t="inlineStr"/>
      <c r="G9" s="39" t="inlineStr">
        <is>
          <t>Nolte</t>
        </is>
      </c>
      <c r="H9" s="28" t="inlineStr">
        <is>
          <t>vs</t>
        </is>
      </c>
      <c r="I9" s="37" t="inlineStr">
        <is>
          <t>Weber</t>
        </is>
      </c>
      <c r="J9" s="30" t="inlineStr"/>
      <c r="K9" s="40" t="inlineStr">
        <is>
          <t>Prodehl</t>
        </is>
      </c>
      <c r="L9" s="28" t="inlineStr">
        <is>
          <t>vs</t>
        </is>
      </c>
      <c r="M9" s="44" t="inlineStr">
        <is>
          <t>Hansmann</t>
        </is>
      </c>
      <c r="N9" s="30" t="inlineStr"/>
      <c r="O9" s="45" t="inlineStr">
        <is>
          <t>Wojtanowtisch</t>
        </is>
      </c>
      <c r="P9" s="46" t="inlineStr">
        <is>
          <t>Knust</t>
        </is>
      </c>
      <c r="Q9" s="28" t="inlineStr">
        <is>
          <t>vs</t>
        </is>
      </c>
      <c r="R9" s="47" t="inlineStr">
        <is>
          <t>Rumpf</t>
        </is>
      </c>
      <c r="S9" s="48" t="inlineStr">
        <is>
          <t>Mönning</t>
        </is>
      </c>
      <c r="T9" s="25" t="inlineStr">
        <is>
          <t>Geplant</t>
        </is>
      </c>
      <c r="U9" s="38">
        <f>IF($C$3="ALLE", "JA", IF(COUNTIF(C9:S9, $C$3)&gt;0, "JA", "NEIN"))</f>
        <v/>
      </c>
      <c r="V9" t="inlineStr">
        <is>
          <t>Marschollek</t>
        </is>
      </c>
    </row>
    <row r="10">
      <c r="A10" s="25" t="n">
        <v>4</v>
      </c>
      <c r="B10" s="95" t="n">
        <v>46322</v>
      </c>
      <c r="C10" s="39" t="inlineStr">
        <is>
          <t>Nolte</t>
        </is>
      </c>
      <c r="D10" s="28" t="inlineStr">
        <is>
          <t>vs</t>
        </is>
      </c>
      <c r="E10" s="37" t="inlineStr">
        <is>
          <t>Weber</t>
        </is>
      </c>
      <c r="F10" s="30" t="inlineStr"/>
      <c r="G10" s="40" t="inlineStr">
        <is>
          <t>Prodehl</t>
        </is>
      </c>
      <c r="H10" s="28" t="inlineStr">
        <is>
          <t>vs</t>
        </is>
      </c>
      <c r="I10" s="44" t="inlineStr">
        <is>
          <t>Hansmann</t>
        </is>
      </c>
      <c r="J10" s="30" t="inlineStr"/>
      <c r="K10" s="49" t="inlineStr">
        <is>
          <t>Trojanski</t>
        </is>
      </c>
      <c r="L10" s="28" t="inlineStr">
        <is>
          <t>vs</t>
        </is>
      </c>
      <c r="M10" s="43" t="inlineStr">
        <is>
          <t>van de Loo</t>
        </is>
      </c>
      <c r="N10" s="30" t="inlineStr"/>
      <c r="O10" s="50" t="inlineStr">
        <is>
          <t>Redieker</t>
        </is>
      </c>
      <c r="P10" s="51" t="inlineStr">
        <is>
          <t>Höttinger</t>
        </is>
      </c>
      <c r="Q10" s="28" t="inlineStr">
        <is>
          <t>vs</t>
        </is>
      </c>
      <c r="R10" s="52" t="inlineStr">
        <is>
          <t>Beumer</t>
        </is>
      </c>
      <c r="S10" s="29" t="inlineStr">
        <is>
          <t>Dedores</t>
        </is>
      </c>
      <c r="T10" s="25" t="inlineStr">
        <is>
          <t>Geplant</t>
        </is>
      </c>
      <c r="U10" s="38">
        <f>IF($C$3="ALLE", "JA", IF(COUNTIF(C10:S10, $C$3)&gt;0, "JA", "NEIN"))</f>
        <v/>
      </c>
      <c r="V10" t="inlineStr">
        <is>
          <t>Nolte</t>
        </is>
      </c>
    </row>
    <row r="11">
      <c r="A11" s="25" t="n">
        <v>5</v>
      </c>
      <c r="B11" s="95" t="n">
        <v>46329</v>
      </c>
      <c r="C11" s="40" t="inlineStr">
        <is>
          <t>Prodehl</t>
        </is>
      </c>
      <c r="D11" s="28" t="inlineStr">
        <is>
          <t>vs</t>
        </is>
      </c>
      <c r="E11" s="44" t="inlineStr">
        <is>
          <t>Hansmann</t>
        </is>
      </c>
      <c r="F11" s="30" t="inlineStr"/>
      <c r="G11" s="49" t="inlineStr">
        <is>
          <t>Trojanski</t>
        </is>
      </c>
      <c r="H11" s="28" t="inlineStr">
        <is>
          <t>vs</t>
        </is>
      </c>
      <c r="I11" s="43" t="inlineStr">
        <is>
          <t>van de Loo</t>
        </is>
      </c>
      <c r="J11" s="30" t="inlineStr"/>
      <c r="K11" s="45" t="inlineStr">
        <is>
          <t>Wojtanowtisch</t>
        </is>
      </c>
      <c r="L11" s="28" t="inlineStr">
        <is>
          <t>vs</t>
        </is>
      </c>
      <c r="M11" s="53" t="inlineStr">
        <is>
          <t>Knust</t>
        </is>
      </c>
      <c r="N11" s="30" t="inlineStr"/>
      <c r="O11" s="31" t="inlineStr">
        <is>
          <t>Heyn</t>
        </is>
      </c>
      <c r="P11" s="54" t="inlineStr">
        <is>
          <t>Hinz</t>
        </is>
      </c>
      <c r="Q11" s="28" t="inlineStr">
        <is>
          <t>vs</t>
        </is>
      </c>
      <c r="R11" s="55" t="inlineStr">
        <is>
          <t>Kuhlhoff</t>
        </is>
      </c>
      <c r="S11" s="34" t="inlineStr">
        <is>
          <t>Marschollek</t>
        </is>
      </c>
      <c r="T11" s="25" t="inlineStr">
        <is>
          <t>Geplant</t>
        </is>
      </c>
      <c r="U11" s="38">
        <f>IF($C$3="ALLE", "JA", IF(COUNTIF(C11:S11, $C$3)&gt;0, "JA", "NEIN"))</f>
        <v/>
      </c>
      <c r="V11" t="inlineStr">
        <is>
          <t>Weber</t>
        </is>
      </c>
    </row>
    <row r="12">
      <c r="A12" s="25" t="n">
        <v>6</v>
      </c>
      <c r="B12" s="95" t="n">
        <v>46336</v>
      </c>
      <c r="C12" s="49" t="inlineStr">
        <is>
          <t>Trojanski</t>
        </is>
      </c>
      <c r="D12" s="28" t="inlineStr">
        <is>
          <t>vs</t>
        </is>
      </c>
      <c r="E12" s="43" t="inlineStr">
        <is>
          <t>van de Loo</t>
        </is>
      </c>
      <c r="F12" s="30" t="inlineStr"/>
      <c r="G12" s="45" t="inlineStr">
        <is>
          <t>Wojtanowtisch</t>
        </is>
      </c>
      <c r="H12" s="28" t="inlineStr">
        <is>
          <t>vs</t>
        </is>
      </c>
      <c r="I12" s="53" t="inlineStr">
        <is>
          <t>Knust</t>
        </is>
      </c>
      <c r="J12" s="30" t="inlineStr"/>
      <c r="K12" s="56" t="inlineStr">
        <is>
          <t>Rumpf</t>
        </is>
      </c>
      <c r="L12" s="28" t="inlineStr">
        <is>
          <t>vs</t>
        </is>
      </c>
      <c r="M12" s="48" t="inlineStr">
        <is>
          <t>Mönning</t>
        </is>
      </c>
      <c r="N12" s="30" t="inlineStr"/>
      <c r="O12" s="39" t="inlineStr">
        <is>
          <t>Nolte</t>
        </is>
      </c>
      <c r="P12" s="57" t="inlineStr">
        <is>
          <t>Weber</t>
        </is>
      </c>
      <c r="Q12" s="28" t="inlineStr">
        <is>
          <t>vs</t>
        </is>
      </c>
      <c r="R12" s="58" t="inlineStr">
        <is>
          <t>Prodehl</t>
        </is>
      </c>
      <c r="S12" s="44" t="inlineStr">
        <is>
          <t>Hansmann</t>
        </is>
      </c>
      <c r="T12" s="25" t="inlineStr">
        <is>
          <t>Geplant</t>
        </is>
      </c>
      <c r="U12" s="38">
        <f>IF($C$3="ALLE", "JA", IF(COUNTIF(C12:S12, $C$3)&gt;0, "JA", "NEIN"))</f>
        <v/>
      </c>
      <c r="V12" t="inlineStr">
        <is>
          <t>Prodehl</t>
        </is>
      </c>
    </row>
    <row r="13">
      <c r="A13" s="25" t="n">
        <v>7</v>
      </c>
      <c r="B13" s="95" t="n">
        <v>46343</v>
      </c>
      <c r="C13" s="59" t="inlineStr">
        <is>
          <t>Wojtanowtisch</t>
        </is>
      </c>
      <c r="D13" s="28" t="inlineStr">
        <is>
          <t>vs</t>
        </is>
      </c>
      <c r="E13" s="60" t="inlineStr">
        <is>
          <t>Knust</t>
        </is>
      </c>
      <c r="F13" s="30" t="inlineStr"/>
      <c r="G13" s="61" t="inlineStr">
        <is>
          <t>Rumpf</t>
        </is>
      </c>
      <c r="H13" s="28" t="inlineStr">
        <is>
          <t>vs</t>
        </is>
      </c>
      <c r="I13" s="62" t="inlineStr">
        <is>
          <t>Mönning</t>
        </is>
      </c>
      <c r="J13" s="30" t="inlineStr"/>
      <c r="K13" s="63" t="inlineStr">
        <is>
          <t>Redieker</t>
        </is>
      </c>
      <c r="L13" s="28" t="inlineStr">
        <is>
          <t>vs</t>
        </is>
      </c>
      <c r="M13" s="64" t="inlineStr">
        <is>
          <t>Höttinger</t>
        </is>
      </c>
      <c r="N13" s="30" t="inlineStr"/>
      <c r="O13" s="65" t="inlineStr">
        <is>
          <t>Trojanski</t>
        </is>
      </c>
      <c r="P13" s="66" t="inlineStr">
        <is>
          <t>van de Loo</t>
        </is>
      </c>
      <c r="Q13" s="28" t="inlineStr">
        <is>
          <t>vs</t>
        </is>
      </c>
      <c r="R13" s="67" t="inlineStr">
        <is>
          <t>Wojtanowtisch</t>
        </is>
      </c>
      <c r="S13" s="60" t="inlineStr">
        <is>
          <t>Knust</t>
        </is>
      </c>
      <c r="T13" s="25" t="inlineStr">
        <is>
          <t>Geplant</t>
        </is>
      </c>
      <c r="U13" s="38">
        <f>IF($C$3="ALLE", "JA", IF(COUNTIF(C13:S13, $C$3)&gt;0, "JA", "NEIN"))</f>
        <v/>
      </c>
      <c r="V13" t="inlineStr">
        <is>
          <t>Hansmann</t>
        </is>
      </c>
    </row>
    <row r="14">
      <c r="A14" s="25" t="n">
        <v>8</v>
      </c>
      <c r="B14" s="95" t="n">
        <v>46350</v>
      </c>
      <c r="C14" s="61" t="inlineStr">
        <is>
          <t>Rumpf</t>
        </is>
      </c>
      <c r="D14" s="28" t="inlineStr">
        <is>
          <t>vs</t>
        </is>
      </c>
      <c r="E14" s="62" t="inlineStr">
        <is>
          <t>Mönning</t>
        </is>
      </c>
      <c r="F14" s="30" t="inlineStr"/>
      <c r="G14" s="63" t="inlineStr">
        <is>
          <t>Redieker</t>
        </is>
      </c>
      <c r="H14" s="28" t="inlineStr">
        <is>
          <t>vs</t>
        </is>
      </c>
      <c r="I14" s="64" t="inlineStr">
        <is>
          <t>Höttinger</t>
        </is>
      </c>
      <c r="J14" s="30" t="inlineStr"/>
      <c r="K14" s="68" t="inlineStr">
        <is>
          <t>Beumer</t>
        </is>
      </c>
      <c r="L14" s="28" t="inlineStr">
        <is>
          <t>vs</t>
        </is>
      </c>
      <c r="M14" s="69" t="inlineStr">
        <is>
          <t>Dedores</t>
        </is>
      </c>
      <c r="N14" s="30" t="inlineStr"/>
      <c r="O14" s="61" t="inlineStr">
        <is>
          <t>Rumpf</t>
        </is>
      </c>
      <c r="P14" s="70" t="inlineStr">
        <is>
          <t>Mönning</t>
        </is>
      </c>
      <c r="Q14" s="28" t="inlineStr">
        <is>
          <t>vs</t>
        </is>
      </c>
      <c r="R14" s="71" t="inlineStr">
        <is>
          <t>Redieker</t>
        </is>
      </c>
      <c r="S14" s="64" t="inlineStr">
        <is>
          <t>Höttinger</t>
        </is>
      </c>
      <c r="T14" s="25" t="inlineStr">
        <is>
          <t>Geplant</t>
        </is>
      </c>
      <c r="U14" s="38">
        <f>IF($C$3="ALLE", "JA", IF(COUNTIF(C14:S14, $C$3)&gt;0, "JA", "NEIN"))</f>
        <v/>
      </c>
      <c r="V14" t="inlineStr">
        <is>
          <t>Trojanski</t>
        </is>
      </c>
    </row>
    <row r="15">
      <c r="A15" s="25" t="n">
        <v>9</v>
      </c>
      <c r="B15" s="95" t="n">
        <v>46357</v>
      </c>
      <c r="C15" s="63" t="inlineStr">
        <is>
          <t>Redieker</t>
        </is>
      </c>
      <c r="D15" s="28" t="inlineStr">
        <is>
          <t>vs</t>
        </is>
      </c>
      <c r="E15" s="64" t="inlineStr">
        <is>
          <t>Höttinger</t>
        </is>
      </c>
      <c r="F15" s="30" t="inlineStr"/>
      <c r="G15" s="68" t="inlineStr">
        <is>
          <t>Beumer</t>
        </is>
      </c>
      <c r="H15" s="28" t="inlineStr">
        <is>
          <t>vs</t>
        </is>
      </c>
      <c r="I15" s="69" t="inlineStr">
        <is>
          <t>Dedores</t>
        </is>
      </c>
      <c r="J15" s="30" t="inlineStr"/>
      <c r="K15" s="72" t="inlineStr">
        <is>
          <t>Heyn</t>
        </is>
      </c>
      <c r="L15" s="28" t="inlineStr">
        <is>
          <t>vs</t>
        </is>
      </c>
      <c r="M15" s="73" t="inlineStr">
        <is>
          <t>Hinz</t>
        </is>
      </c>
      <c r="N15" s="30" t="inlineStr"/>
      <c r="O15" s="68" t="inlineStr">
        <is>
          <t>Beumer</t>
        </is>
      </c>
      <c r="P15" s="74" t="inlineStr">
        <is>
          <t>Dedores</t>
        </is>
      </c>
      <c r="Q15" s="28" t="inlineStr">
        <is>
          <t>vs</t>
        </is>
      </c>
      <c r="R15" s="75" t="inlineStr">
        <is>
          <t>Heyn</t>
        </is>
      </c>
      <c r="S15" s="73" t="inlineStr">
        <is>
          <t>Hinz</t>
        </is>
      </c>
      <c r="T15" s="25" t="inlineStr">
        <is>
          <t>Geplant</t>
        </is>
      </c>
      <c r="U15" s="38">
        <f>IF($C$3="ALLE", "JA", IF(COUNTIF(C15:S15, $C$3)&gt;0, "JA", "NEIN"))</f>
        <v/>
      </c>
      <c r="V15" t="inlineStr">
        <is>
          <t>van de Loo</t>
        </is>
      </c>
    </row>
    <row r="16">
      <c r="A16" s="25" t="n">
        <v>10</v>
      </c>
      <c r="B16" s="95" t="n">
        <v>46364</v>
      </c>
      <c r="C16" s="68" t="inlineStr">
        <is>
          <t>Beumer</t>
        </is>
      </c>
      <c r="D16" s="28" t="inlineStr">
        <is>
          <t>vs</t>
        </is>
      </c>
      <c r="E16" s="69" t="inlineStr">
        <is>
          <t>Dedores</t>
        </is>
      </c>
      <c r="F16" s="30" t="inlineStr"/>
      <c r="G16" s="72" t="inlineStr">
        <is>
          <t>Heyn</t>
        </is>
      </c>
      <c r="H16" s="28" t="inlineStr">
        <is>
          <t>vs</t>
        </is>
      </c>
      <c r="I16" s="73" t="inlineStr">
        <is>
          <t>Hinz</t>
        </is>
      </c>
      <c r="J16" s="30" t="inlineStr"/>
      <c r="K16" s="76" t="inlineStr">
        <is>
          <t>Kuhlhoff</t>
        </is>
      </c>
      <c r="L16" s="28" t="inlineStr">
        <is>
          <t>vs</t>
        </is>
      </c>
      <c r="M16" s="77" t="inlineStr">
        <is>
          <t>Marschollek</t>
        </is>
      </c>
      <c r="N16" s="30" t="inlineStr"/>
      <c r="O16" s="76" t="inlineStr">
        <is>
          <t>Kuhlhoff</t>
        </is>
      </c>
      <c r="P16" s="78" t="inlineStr">
        <is>
          <t>Marschollek</t>
        </is>
      </c>
      <c r="Q16" s="28" t="inlineStr">
        <is>
          <t>vs</t>
        </is>
      </c>
      <c r="R16" s="79" t="inlineStr">
        <is>
          <t>Nolte</t>
        </is>
      </c>
      <c r="S16" s="80" t="inlineStr">
        <is>
          <t>Weber</t>
        </is>
      </c>
      <c r="T16" s="25" t="inlineStr">
        <is>
          <t>Geplant</t>
        </is>
      </c>
      <c r="U16" s="38">
        <f>IF($C$3="ALLE", "JA", IF(COUNTIF(C16:S16, $C$3)&gt;0, "JA", "NEIN"))</f>
        <v/>
      </c>
      <c r="V16" t="inlineStr">
        <is>
          <t>Wojtanowtisch</t>
        </is>
      </c>
    </row>
    <row r="17">
      <c r="A17" s="25" t="n">
        <v>11</v>
      </c>
      <c r="B17" s="95" t="n">
        <v>46371</v>
      </c>
      <c r="C17" s="72" t="inlineStr">
        <is>
          <t>Heyn</t>
        </is>
      </c>
      <c r="D17" s="28" t="inlineStr">
        <is>
          <t>vs</t>
        </is>
      </c>
      <c r="E17" s="73" t="inlineStr">
        <is>
          <t>Hinz</t>
        </is>
      </c>
      <c r="F17" s="30" t="inlineStr"/>
      <c r="G17" s="76" t="inlineStr">
        <is>
          <t>Kuhlhoff</t>
        </is>
      </c>
      <c r="H17" s="28" t="inlineStr">
        <is>
          <t>vs</t>
        </is>
      </c>
      <c r="I17" s="77" t="inlineStr">
        <is>
          <t>Marschollek</t>
        </is>
      </c>
      <c r="J17" s="30" t="inlineStr"/>
      <c r="K17" s="81" t="inlineStr">
        <is>
          <t>Nolte</t>
        </is>
      </c>
      <c r="L17" s="28" t="inlineStr">
        <is>
          <t>vs</t>
        </is>
      </c>
      <c r="M17" s="80" t="inlineStr">
        <is>
          <t>Weber</t>
        </is>
      </c>
      <c r="N17" s="30" t="inlineStr"/>
      <c r="O17" s="82" t="inlineStr">
        <is>
          <t>Prodehl</t>
        </is>
      </c>
      <c r="P17" s="83" t="inlineStr">
        <is>
          <t>Hansmann</t>
        </is>
      </c>
      <c r="Q17" s="28" t="inlineStr">
        <is>
          <t>vs</t>
        </is>
      </c>
      <c r="R17" s="84" t="inlineStr">
        <is>
          <t>Trojanski</t>
        </is>
      </c>
      <c r="S17" s="85" t="inlineStr">
        <is>
          <t>van de Loo</t>
        </is>
      </c>
      <c r="T17" s="25" t="inlineStr">
        <is>
          <t>Geplant</t>
        </is>
      </c>
      <c r="U17" s="38">
        <f>IF($C$3="ALLE", "JA", IF(COUNTIF(C17:S17, $C$3)&gt;0, "JA", "NEIN"))</f>
        <v/>
      </c>
      <c r="V17" t="inlineStr">
        <is>
          <t>Knust</t>
        </is>
      </c>
    </row>
    <row r="18">
      <c r="A18" s="25" t="n">
        <v>12</v>
      </c>
      <c r="B18" s="95" t="n">
        <v>46378</v>
      </c>
      <c r="C18" s="76" t="inlineStr">
        <is>
          <t>Kuhlhoff</t>
        </is>
      </c>
      <c r="D18" s="28" t="inlineStr">
        <is>
          <t>vs</t>
        </is>
      </c>
      <c r="E18" s="77" t="inlineStr">
        <is>
          <t>Marschollek</t>
        </is>
      </c>
      <c r="F18" s="30" t="inlineStr"/>
      <c r="G18" s="81" t="inlineStr">
        <is>
          <t>Nolte</t>
        </is>
      </c>
      <c r="H18" s="28" t="inlineStr">
        <is>
          <t>vs</t>
        </is>
      </c>
      <c r="I18" s="80" t="inlineStr">
        <is>
          <t>Weber</t>
        </is>
      </c>
      <c r="J18" s="30" t="inlineStr"/>
      <c r="K18" s="82" t="inlineStr">
        <is>
          <t>Prodehl</t>
        </is>
      </c>
      <c r="L18" s="28" t="inlineStr">
        <is>
          <t>vs</t>
        </is>
      </c>
      <c r="M18" s="86" t="inlineStr">
        <is>
          <t>Hansmann</t>
        </is>
      </c>
      <c r="N18" s="30" t="inlineStr"/>
      <c r="O18" s="59" t="inlineStr">
        <is>
          <t>Wojtanowtisch</t>
        </is>
      </c>
      <c r="P18" s="87" t="inlineStr">
        <is>
          <t>Knust</t>
        </is>
      </c>
      <c r="Q18" s="28" t="inlineStr">
        <is>
          <t>vs</t>
        </is>
      </c>
      <c r="R18" s="88" t="inlineStr">
        <is>
          <t>Rumpf</t>
        </is>
      </c>
      <c r="S18" s="62" t="inlineStr">
        <is>
          <t>Mönning</t>
        </is>
      </c>
      <c r="T18" s="25" t="inlineStr">
        <is>
          <t>Geplant</t>
        </is>
      </c>
      <c r="U18" s="38">
        <f>IF($C$3="ALLE", "JA", IF(COUNTIF(C18:S18, $C$3)&gt;0, "JA", "NEIN"))</f>
        <v/>
      </c>
      <c r="V18" t="inlineStr">
        <is>
          <t>Rumpf</t>
        </is>
      </c>
    </row>
    <row r="19">
      <c r="A19" s="25" t="n">
        <v>13</v>
      </c>
      <c r="B19" s="95" t="n">
        <v>46385</v>
      </c>
      <c r="C19" s="81" t="inlineStr">
        <is>
          <t>Nolte</t>
        </is>
      </c>
      <c r="D19" s="28" t="inlineStr">
        <is>
          <t>vs</t>
        </is>
      </c>
      <c r="E19" s="80" t="inlineStr">
        <is>
          <t>Weber</t>
        </is>
      </c>
      <c r="F19" s="30" t="inlineStr"/>
      <c r="G19" s="82" t="inlineStr">
        <is>
          <t>Prodehl</t>
        </is>
      </c>
      <c r="H19" s="28" t="inlineStr">
        <is>
          <t>vs</t>
        </is>
      </c>
      <c r="I19" s="86" t="inlineStr">
        <is>
          <t>Hansmann</t>
        </is>
      </c>
      <c r="J19" s="30" t="inlineStr"/>
      <c r="K19" s="65" t="inlineStr">
        <is>
          <t>Trojanski</t>
        </is>
      </c>
      <c r="L19" s="28" t="inlineStr">
        <is>
          <t>vs</t>
        </is>
      </c>
      <c r="M19" s="85" t="inlineStr">
        <is>
          <t>van de Loo</t>
        </is>
      </c>
      <c r="N19" s="30" t="inlineStr"/>
      <c r="O19" s="63" t="inlineStr">
        <is>
          <t>Redieker</t>
        </is>
      </c>
      <c r="P19" s="89" t="inlineStr">
        <is>
          <t>Höttinger</t>
        </is>
      </c>
      <c r="Q19" s="28" t="inlineStr">
        <is>
          <t>vs</t>
        </is>
      </c>
      <c r="R19" s="90" t="inlineStr">
        <is>
          <t>Beumer</t>
        </is>
      </c>
      <c r="S19" s="69" t="inlineStr">
        <is>
          <t>Dedores</t>
        </is>
      </c>
      <c r="T19" s="25" t="inlineStr">
        <is>
          <t>Geplant</t>
        </is>
      </c>
      <c r="U19" s="38">
        <f>IF($C$3="ALLE", "JA", IF(COUNTIF(C19:S19, $C$3)&gt;0, "JA", "NEIN"))</f>
        <v/>
      </c>
      <c r="V19" t="inlineStr">
        <is>
          <t>Mönning</t>
        </is>
      </c>
    </row>
    <row r="20">
      <c r="A20" s="25" t="n">
        <v>14</v>
      </c>
      <c r="B20" s="95" t="n">
        <v>46392</v>
      </c>
      <c r="C20" s="82" t="inlineStr">
        <is>
          <t>Prodehl</t>
        </is>
      </c>
      <c r="D20" s="28" t="inlineStr">
        <is>
          <t>vs</t>
        </is>
      </c>
      <c r="E20" s="86" t="inlineStr">
        <is>
          <t>Hansmann</t>
        </is>
      </c>
      <c r="F20" s="30" t="inlineStr"/>
      <c r="G20" s="65" t="inlineStr">
        <is>
          <t>Trojanski</t>
        </is>
      </c>
      <c r="H20" s="28" t="inlineStr">
        <is>
          <t>vs</t>
        </is>
      </c>
      <c r="I20" s="85" t="inlineStr">
        <is>
          <t>van de Loo</t>
        </is>
      </c>
      <c r="J20" s="30" t="inlineStr"/>
      <c r="K20" s="59" t="inlineStr">
        <is>
          <t>Wojtanowtisch</t>
        </is>
      </c>
      <c r="L20" s="28" t="inlineStr">
        <is>
          <t>vs</t>
        </is>
      </c>
      <c r="M20" s="60" t="inlineStr">
        <is>
          <t>Knust</t>
        </is>
      </c>
      <c r="N20" s="30" t="inlineStr"/>
      <c r="O20" s="72" t="inlineStr">
        <is>
          <t>Heyn</t>
        </is>
      </c>
      <c r="P20" s="91" t="inlineStr">
        <is>
          <t>Hinz</t>
        </is>
      </c>
      <c r="Q20" s="28" t="inlineStr">
        <is>
          <t>vs</t>
        </is>
      </c>
      <c r="R20" s="92" t="inlineStr">
        <is>
          <t>Kuhlhoff</t>
        </is>
      </c>
      <c r="S20" s="77" t="inlineStr">
        <is>
          <t>Marschollek</t>
        </is>
      </c>
      <c r="T20" s="25" t="inlineStr">
        <is>
          <t>Geplant</t>
        </is>
      </c>
      <c r="U20" s="38">
        <f>IF($C$3="ALLE", "JA", IF(COUNTIF(C20:S20, $C$3)&gt;0, "JA", "NEIN"))</f>
        <v/>
      </c>
      <c r="V20" t="inlineStr">
        <is>
          <t>Redieker</t>
        </is>
      </c>
    </row>
    <row r="21">
      <c r="A21" s="25" t="n">
        <v>15</v>
      </c>
      <c r="B21" s="95" t="n">
        <v>46399</v>
      </c>
      <c r="C21" s="65" t="inlineStr">
        <is>
          <t>Trojanski</t>
        </is>
      </c>
      <c r="D21" s="28" t="inlineStr">
        <is>
          <t>vs</t>
        </is>
      </c>
      <c r="E21" s="85" t="inlineStr">
        <is>
          <t>van de Loo</t>
        </is>
      </c>
      <c r="F21" s="30" t="inlineStr"/>
      <c r="G21" s="59" t="inlineStr">
        <is>
          <t>Wojtanowtisch</t>
        </is>
      </c>
      <c r="H21" s="28" t="inlineStr">
        <is>
          <t>vs</t>
        </is>
      </c>
      <c r="I21" s="60" t="inlineStr">
        <is>
          <t>Knust</t>
        </is>
      </c>
      <c r="J21" s="30" t="inlineStr"/>
      <c r="K21" s="61" t="inlineStr">
        <is>
          <t>Rumpf</t>
        </is>
      </c>
      <c r="L21" s="28" t="inlineStr">
        <is>
          <t>vs</t>
        </is>
      </c>
      <c r="M21" s="62" t="inlineStr">
        <is>
          <t>Mönning</t>
        </is>
      </c>
      <c r="N21" s="30" t="inlineStr"/>
      <c r="O21" s="81" t="inlineStr">
        <is>
          <t>Nolte</t>
        </is>
      </c>
      <c r="P21" s="93" t="inlineStr">
        <is>
          <t>Weber</t>
        </is>
      </c>
      <c r="Q21" s="28" t="inlineStr">
        <is>
          <t>vs</t>
        </is>
      </c>
      <c r="R21" s="94" t="inlineStr">
        <is>
          <t>Prodehl</t>
        </is>
      </c>
      <c r="S21" s="86" t="inlineStr">
        <is>
          <t>Hansmann</t>
        </is>
      </c>
      <c r="T21" s="25" t="inlineStr">
        <is>
          <t>Geplant</t>
        </is>
      </c>
      <c r="U21" s="38">
        <f>IF($C$3="ALLE", "JA", IF(COUNTIF(C21:S21, $C$3)&gt;0, "JA", "NEIN"))</f>
        <v/>
      </c>
      <c r="V21" t="inlineStr">
        <is>
          <t>Höttinger</t>
        </is>
      </c>
    </row>
    <row r="22">
      <c r="A22" s="25" t="n">
        <v>16</v>
      </c>
      <c r="B22" s="95" t="n">
        <v>46406</v>
      </c>
      <c r="C22" s="59" t="inlineStr">
        <is>
          <t>Wojtanowtisch</t>
        </is>
      </c>
      <c r="D22" s="28" t="inlineStr">
        <is>
          <t>vs</t>
        </is>
      </c>
      <c r="E22" s="60" t="inlineStr">
        <is>
          <t>Knust</t>
        </is>
      </c>
      <c r="F22" s="30" t="inlineStr"/>
      <c r="G22" s="61" t="inlineStr">
        <is>
          <t>Rumpf</t>
        </is>
      </c>
      <c r="H22" s="28" t="inlineStr">
        <is>
          <t>vs</t>
        </is>
      </c>
      <c r="I22" s="62" t="inlineStr">
        <is>
          <t>Mönning</t>
        </is>
      </c>
      <c r="J22" s="30" t="inlineStr"/>
      <c r="K22" s="63" t="inlineStr">
        <is>
          <t>Redieker</t>
        </is>
      </c>
      <c r="L22" s="28" t="inlineStr">
        <is>
          <t>vs</t>
        </is>
      </c>
      <c r="M22" s="64" t="inlineStr">
        <is>
          <t>Höttinger</t>
        </is>
      </c>
      <c r="N22" s="30" t="inlineStr"/>
      <c r="O22" s="65" t="inlineStr">
        <is>
          <t>Trojanski</t>
        </is>
      </c>
      <c r="P22" s="66" t="inlineStr">
        <is>
          <t>van de Loo</t>
        </is>
      </c>
      <c r="Q22" s="28" t="inlineStr">
        <is>
          <t>vs</t>
        </is>
      </c>
      <c r="R22" s="67" t="inlineStr">
        <is>
          <t>Wojtanowtisch</t>
        </is>
      </c>
      <c r="S22" s="60" t="inlineStr">
        <is>
          <t>Knust</t>
        </is>
      </c>
      <c r="T22" s="25" t="inlineStr">
        <is>
          <t>Geplant</t>
        </is>
      </c>
      <c r="U22" s="38">
        <f>IF($C$3="ALLE", "JA", IF(COUNTIF(C22:S22, $C$3)&gt;0, "JA", "NEIN"))</f>
        <v/>
      </c>
    </row>
    <row r="23">
      <c r="A23" s="25" t="n">
        <v>17</v>
      </c>
      <c r="B23" s="95" t="n">
        <v>46413</v>
      </c>
      <c r="C23" s="61" t="inlineStr">
        <is>
          <t>Rumpf</t>
        </is>
      </c>
      <c r="D23" s="28" t="inlineStr">
        <is>
          <t>vs</t>
        </is>
      </c>
      <c r="E23" s="62" t="inlineStr">
        <is>
          <t>Mönning</t>
        </is>
      </c>
      <c r="F23" s="30" t="inlineStr"/>
      <c r="G23" s="63" t="inlineStr">
        <is>
          <t>Redieker</t>
        </is>
      </c>
      <c r="H23" s="28" t="inlineStr">
        <is>
          <t>vs</t>
        </is>
      </c>
      <c r="I23" s="64" t="inlineStr">
        <is>
          <t>Höttinger</t>
        </is>
      </c>
      <c r="J23" s="30" t="inlineStr"/>
      <c r="K23" s="68" t="inlineStr">
        <is>
          <t>Beumer</t>
        </is>
      </c>
      <c r="L23" s="28" t="inlineStr">
        <is>
          <t>vs</t>
        </is>
      </c>
      <c r="M23" s="69" t="inlineStr">
        <is>
          <t>Dedores</t>
        </is>
      </c>
      <c r="N23" s="30" t="inlineStr"/>
      <c r="O23" s="61" t="inlineStr">
        <is>
          <t>Rumpf</t>
        </is>
      </c>
      <c r="P23" s="70" t="inlineStr">
        <is>
          <t>Mönning</t>
        </is>
      </c>
      <c r="Q23" s="28" t="inlineStr">
        <is>
          <t>vs</t>
        </is>
      </c>
      <c r="R23" s="71" t="inlineStr">
        <is>
          <t>Redieker</t>
        </is>
      </c>
      <c r="S23" s="64" t="inlineStr">
        <is>
          <t>Höttinger</t>
        </is>
      </c>
      <c r="T23" s="25" t="inlineStr">
        <is>
          <t>Geplant</t>
        </is>
      </c>
      <c r="U23" s="38">
        <f>IF($C$3="ALLE", "JA", IF(COUNTIF(C23:S23, $C$3)&gt;0, "JA", "NEIN"))</f>
        <v/>
      </c>
    </row>
    <row r="24">
      <c r="A24" s="25" t="n">
        <v>18</v>
      </c>
      <c r="B24" s="95" t="n">
        <v>46420</v>
      </c>
      <c r="C24" s="63" t="inlineStr">
        <is>
          <t>Redieker</t>
        </is>
      </c>
      <c r="D24" s="28" t="inlineStr">
        <is>
          <t>vs</t>
        </is>
      </c>
      <c r="E24" s="64" t="inlineStr">
        <is>
          <t>Höttinger</t>
        </is>
      </c>
      <c r="F24" s="30" t="inlineStr"/>
      <c r="G24" s="68" t="inlineStr">
        <is>
          <t>Beumer</t>
        </is>
      </c>
      <c r="H24" s="28" t="inlineStr">
        <is>
          <t>vs</t>
        </is>
      </c>
      <c r="I24" s="69" t="inlineStr">
        <is>
          <t>Dedores</t>
        </is>
      </c>
      <c r="J24" s="30" t="inlineStr"/>
      <c r="K24" s="72" t="inlineStr">
        <is>
          <t>Heyn</t>
        </is>
      </c>
      <c r="L24" s="28" t="inlineStr">
        <is>
          <t>vs</t>
        </is>
      </c>
      <c r="M24" s="73" t="inlineStr">
        <is>
          <t>Hinz</t>
        </is>
      </c>
      <c r="N24" s="30" t="inlineStr"/>
      <c r="O24" s="68" t="inlineStr">
        <is>
          <t>Beumer</t>
        </is>
      </c>
      <c r="P24" s="74" t="inlineStr">
        <is>
          <t>Dedores</t>
        </is>
      </c>
      <c r="Q24" s="28" t="inlineStr">
        <is>
          <t>vs</t>
        </is>
      </c>
      <c r="R24" s="75" t="inlineStr">
        <is>
          <t>Heyn</t>
        </is>
      </c>
      <c r="S24" s="73" t="inlineStr">
        <is>
          <t>Hinz</t>
        </is>
      </c>
      <c r="T24" s="25" t="inlineStr">
        <is>
          <t>Geplant</t>
        </is>
      </c>
      <c r="U24" s="38">
        <f>IF($C$3="ALLE", "JA", IF(COUNTIF(C24:S24, $C$3)&gt;0, "JA", "NEIN"))</f>
        <v/>
      </c>
    </row>
    <row r="25">
      <c r="A25" s="25" t="n">
        <v>19</v>
      </c>
      <c r="B25" s="95" t="n">
        <v>46427</v>
      </c>
      <c r="C25" s="68" t="inlineStr">
        <is>
          <t>Beumer</t>
        </is>
      </c>
      <c r="D25" s="28" t="inlineStr">
        <is>
          <t>vs</t>
        </is>
      </c>
      <c r="E25" s="69" t="inlineStr">
        <is>
          <t>Dedores</t>
        </is>
      </c>
      <c r="F25" s="30" t="inlineStr"/>
      <c r="G25" s="72" t="inlineStr">
        <is>
          <t>Heyn</t>
        </is>
      </c>
      <c r="H25" s="28" t="inlineStr">
        <is>
          <t>vs</t>
        </is>
      </c>
      <c r="I25" s="73" t="inlineStr">
        <is>
          <t>Hinz</t>
        </is>
      </c>
      <c r="J25" s="30" t="inlineStr"/>
      <c r="K25" s="76" t="inlineStr">
        <is>
          <t>Kuhlhoff</t>
        </is>
      </c>
      <c r="L25" s="28" t="inlineStr">
        <is>
          <t>vs</t>
        </is>
      </c>
      <c r="M25" s="77" t="inlineStr">
        <is>
          <t>Marschollek</t>
        </is>
      </c>
      <c r="N25" s="30" t="inlineStr"/>
      <c r="O25" s="76" t="inlineStr">
        <is>
          <t>Kuhlhoff</t>
        </is>
      </c>
      <c r="P25" s="78" t="inlineStr">
        <is>
          <t>Marschollek</t>
        </is>
      </c>
      <c r="Q25" s="28" t="inlineStr">
        <is>
          <t>vs</t>
        </is>
      </c>
      <c r="R25" s="79" t="inlineStr">
        <is>
          <t>Nolte</t>
        </is>
      </c>
      <c r="S25" s="80" t="inlineStr">
        <is>
          <t>Weber</t>
        </is>
      </c>
      <c r="T25" s="25" t="inlineStr">
        <is>
          <t>Geplant</t>
        </is>
      </c>
      <c r="U25" s="38">
        <f>IF($C$3="ALLE", "JA", IF(COUNTIF(C25:S25, $C$3)&gt;0, "JA", "NEIN"))</f>
        <v/>
      </c>
    </row>
    <row r="26">
      <c r="A26" s="25" t="n">
        <v>20</v>
      </c>
      <c r="B26" s="95" t="n">
        <v>46434</v>
      </c>
      <c r="C26" s="72" t="inlineStr">
        <is>
          <t>Heyn</t>
        </is>
      </c>
      <c r="D26" s="28" t="inlineStr">
        <is>
          <t>vs</t>
        </is>
      </c>
      <c r="E26" s="73" t="inlineStr">
        <is>
          <t>Hinz</t>
        </is>
      </c>
      <c r="F26" s="30" t="inlineStr"/>
      <c r="G26" s="76" t="inlineStr">
        <is>
          <t>Kuhlhoff</t>
        </is>
      </c>
      <c r="H26" s="28" t="inlineStr">
        <is>
          <t>vs</t>
        </is>
      </c>
      <c r="I26" s="77" t="inlineStr">
        <is>
          <t>Marschollek</t>
        </is>
      </c>
      <c r="J26" s="30" t="inlineStr"/>
      <c r="K26" s="81" t="inlineStr">
        <is>
          <t>Nolte</t>
        </is>
      </c>
      <c r="L26" s="28" t="inlineStr">
        <is>
          <t>vs</t>
        </is>
      </c>
      <c r="M26" s="80" t="inlineStr">
        <is>
          <t>Weber</t>
        </is>
      </c>
      <c r="N26" s="30" t="inlineStr"/>
      <c r="O26" s="82" t="inlineStr">
        <is>
          <t>Prodehl</t>
        </is>
      </c>
      <c r="P26" s="83" t="inlineStr">
        <is>
          <t>Hansmann</t>
        </is>
      </c>
      <c r="Q26" s="28" t="inlineStr">
        <is>
          <t>vs</t>
        </is>
      </c>
      <c r="R26" s="84" t="inlineStr">
        <is>
          <t>Trojanski</t>
        </is>
      </c>
      <c r="S26" s="85" t="inlineStr">
        <is>
          <t>van de Loo</t>
        </is>
      </c>
      <c r="T26" s="25" t="inlineStr">
        <is>
          <t>Geplant</t>
        </is>
      </c>
      <c r="U26" s="38">
        <f>IF($C$3="ALLE", "JA", IF(COUNTIF(C26:S26, $C$3)&gt;0, "JA", "NEIN"))</f>
        <v/>
      </c>
    </row>
    <row r="27">
      <c r="A27" s="25" t="n">
        <v>21</v>
      </c>
      <c r="B27" s="95" t="n">
        <v>46441</v>
      </c>
      <c r="C27" s="76" t="inlineStr">
        <is>
          <t>Kuhlhoff</t>
        </is>
      </c>
      <c r="D27" s="28" t="inlineStr">
        <is>
          <t>vs</t>
        </is>
      </c>
      <c r="E27" s="77" t="inlineStr">
        <is>
          <t>Marschollek</t>
        </is>
      </c>
      <c r="F27" s="30" t="inlineStr"/>
      <c r="G27" s="81" t="inlineStr">
        <is>
          <t>Nolte</t>
        </is>
      </c>
      <c r="H27" s="28" t="inlineStr">
        <is>
          <t>vs</t>
        </is>
      </c>
      <c r="I27" s="80" t="inlineStr">
        <is>
          <t>Weber</t>
        </is>
      </c>
      <c r="J27" s="30" t="inlineStr"/>
      <c r="K27" s="82" t="inlineStr">
        <is>
          <t>Prodehl</t>
        </is>
      </c>
      <c r="L27" s="28" t="inlineStr">
        <is>
          <t>vs</t>
        </is>
      </c>
      <c r="M27" s="86" t="inlineStr">
        <is>
          <t>Hansmann</t>
        </is>
      </c>
      <c r="N27" s="30" t="inlineStr"/>
      <c r="O27" s="59" t="inlineStr">
        <is>
          <t>Wojtanowtisch</t>
        </is>
      </c>
      <c r="P27" s="87" t="inlineStr">
        <is>
          <t>Knust</t>
        </is>
      </c>
      <c r="Q27" s="28" t="inlineStr">
        <is>
          <t>vs</t>
        </is>
      </c>
      <c r="R27" s="88" t="inlineStr">
        <is>
          <t>Rumpf</t>
        </is>
      </c>
      <c r="S27" s="62" t="inlineStr">
        <is>
          <t>Mönning</t>
        </is>
      </c>
      <c r="T27" s="25" t="inlineStr">
        <is>
          <t>Geplant</t>
        </is>
      </c>
      <c r="U27" s="38">
        <f>IF($C$3="ALLE", "JA", IF(COUNTIF(C27:S27, $C$3)&gt;0, "JA", "NEIN"))</f>
        <v/>
      </c>
    </row>
    <row r="28">
      <c r="A28" s="25" t="n">
        <v>22</v>
      </c>
      <c r="B28" s="95" t="n">
        <v>46448</v>
      </c>
      <c r="C28" s="81" t="inlineStr">
        <is>
          <t>Nolte</t>
        </is>
      </c>
      <c r="D28" s="28" t="inlineStr">
        <is>
          <t>vs</t>
        </is>
      </c>
      <c r="E28" s="80" t="inlineStr">
        <is>
          <t>Weber</t>
        </is>
      </c>
      <c r="F28" s="30" t="inlineStr"/>
      <c r="G28" s="82" t="inlineStr">
        <is>
          <t>Prodehl</t>
        </is>
      </c>
      <c r="H28" s="28" t="inlineStr">
        <is>
          <t>vs</t>
        </is>
      </c>
      <c r="I28" s="86" t="inlineStr">
        <is>
          <t>Hansmann</t>
        </is>
      </c>
      <c r="J28" s="30" t="inlineStr"/>
      <c r="K28" s="65" t="inlineStr">
        <is>
          <t>Trojanski</t>
        </is>
      </c>
      <c r="L28" s="28" t="inlineStr">
        <is>
          <t>vs</t>
        </is>
      </c>
      <c r="M28" s="85" t="inlineStr">
        <is>
          <t>van de Loo</t>
        </is>
      </c>
      <c r="N28" s="30" t="inlineStr"/>
      <c r="O28" s="63" t="inlineStr">
        <is>
          <t>Redieker</t>
        </is>
      </c>
      <c r="P28" s="89" t="inlineStr">
        <is>
          <t>Höttinger</t>
        </is>
      </c>
      <c r="Q28" s="28" t="inlineStr">
        <is>
          <t>vs</t>
        </is>
      </c>
      <c r="R28" s="90" t="inlineStr">
        <is>
          <t>Beumer</t>
        </is>
      </c>
      <c r="S28" s="69" t="inlineStr">
        <is>
          <t>Dedores</t>
        </is>
      </c>
      <c r="T28" s="25" t="inlineStr">
        <is>
          <t>Geplant</t>
        </is>
      </c>
      <c r="U28" s="38">
        <f>IF($C$3="ALLE", "JA", IF(COUNTIF(C28:S28, $C$3)&gt;0, "JA", "NEIN"))</f>
        <v/>
      </c>
    </row>
    <row r="29">
      <c r="A29" s="25" t="n">
        <v>23</v>
      </c>
      <c r="B29" s="95" t="n">
        <v>46455</v>
      </c>
      <c r="C29" s="82" t="inlineStr">
        <is>
          <t>Prodehl</t>
        </is>
      </c>
      <c r="D29" s="28" t="inlineStr">
        <is>
          <t>vs</t>
        </is>
      </c>
      <c r="E29" s="86" t="inlineStr">
        <is>
          <t>Hansmann</t>
        </is>
      </c>
      <c r="F29" s="30" t="inlineStr"/>
      <c r="G29" s="65" t="inlineStr">
        <is>
          <t>Trojanski</t>
        </is>
      </c>
      <c r="H29" s="28" t="inlineStr">
        <is>
          <t>vs</t>
        </is>
      </c>
      <c r="I29" s="85" t="inlineStr">
        <is>
          <t>van de Loo</t>
        </is>
      </c>
      <c r="J29" s="30" t="inlineStr"/>
      <c r="K29" s="59" t="inlineStr">
        <is>
          <t>Wojtanowtisch</t>
        </is>
      </c>
      <c r="L29" s="28" t="inlineStr">
        <is>
          <t>vs</t>
        </is>
      </c>
      <c r="M29" s="60" t="inlineStr">
        <is>
          <t>Knust</t>
        </is>
      </c>
      <c r="N29" s="30" t="inlineStr"/>
      <c r="O29" s="72" t="inlineStr">
        <is>
          <t>Heyn</t>
        </is>
      </c>
      <c r="P29" s="91" t="inlineStr">
        <is>
          <t>Hinz</t>
        </is>
      </c>
      <c r="Q29" s="28" t="inlineStr">
        <is>
          <t>vs</t>
        </is>
      </c>
      <c r="R29" s="92" t="inlineStr">
        <is>
          <t>Kuhlhoff</t>
        </is>
      </c>
      <c r="S29" s="77" t="inlineStr">
        <is>
          <t>Marschollek</t>
        </is>
      </c>
      <c r="T29" s="25" t="inlineStr">
        <is>
          <t>Geplant</t>
        </is>
      </c>
      <c r="U29" s="38">
        <f>IF($C$3="ALLE", "JA", IF(COUNTIF(C29:S29, $C$3)&gt;0, "JA", "NEIN"))</f>
        <v/>
      </c>
    </row>
    <row r="30">
      <c r="A30" s="25" t="n">
        <v>24</v>
      </c>
      <c r="B30" s="95" t="n">
        <v>46462</v>
      </c>
      <c r="C30" s="65" t="inlineStr">
        <is>
          <t>Trojanski</t>
        </is>
      </c>
      <c r="D30" s="28" t="inlineStr">
        <is>
          <t>vs</t>
        </is>
      </c>
      <c r="E30" s="85" t="inlineStr">
        <is>
          <t>van de Loo</t>
        </is>
      </c>
      <c r="F30" s="30" t="inlineStr"/>
      <c r="G30" s="59" t="inlineStr">
        <is>
          <t>Wojtanowtisch</t>
        </is>
      </c>
      <c r="H30" s="28" t="inlineStr">
        <is>
          <t>vs</t>
        </is>
      </c>
      <c r="I30" s="60" t="inlineStr">
        <is>
          <t>Knust</t>
        </is>
      </c>
      <c r="J30" s="30" t="inlineStr"/>
      <c r="K30" s="61" t="inlineStr">
        <is>
          <t>Rumpf</t>
        </is>
      </c>
      <c r="L30" s="28" t="inlineStr">
        <is>
          <t>vs</t>
        </is>
      </c>
      <c r="M30" s="62" t="inlineStr">
        <is>
          <t>Mönning</t>
        </is>
      </c>
      <c r="N30" s="30" t="inlineStr"/>
      <c r="O30" s="81" t="inlineStr">
        <is>
          <t>Nolte</t>
        </is>
      </c>
      <c r="P30" s="93" t="inlineStr">
        <is>
          <t>Weber</t>
        </is>
      </c>
      <c r="Q30" s="28" t="inlineStr">
        <is>
          <t>vs</t>
        </is>
      </c>
      <c r="R30" s="94" t="inlineStr">
        <is>
          <t>Prodehl</t>
        </is>
      </c>
      <c r="S30" s="86" t="inlineStr">
        <is>
          <t>Hansmann</t>
        </is>
      </c>
      <c r="T30" s="25" t="inlineStr">
        <is>
          <t>Geplant</t>
        </is>
      </c>
      <c r="U30" s="38">
        <f>IF($C$3="ALLE", "JA", IF(COUNTIF(C30:S30, $C$3)&gt;0, "JA", "NEIN"))</f>
        <v/>
      </c>
    </row>
    <row r="31">
      <c r="A31" s="25" t="n">
        <v>25</v>
      </c>
      <c r="B31" s="95" t="n">
        <v>46469</v>
      </c>
      <c r="C31" s="59" t="inlineStr">
        <is>
          <t>Wojtanowtisch</t>
        </is>
      </c>
      <c r="D31" s="28" t="inlineStr">
        <is>
          <t>vs</t>
        </is>
      </c>
      <c r="E31" s="60" t="inlineStr">
        <is>
          <t>Knust</t>
        </is>
      </c>
      <c r="F31" s="30" t="inlineStr"/>
      <c r="G31" s="61" t="inlineStr">
        <is>
          <t>Rumpf</t>
        </is>
      </c>
      <c r="H31" s="28" t="inlineStr">
        <is>
          <t>vs</t>
        </is>
      </c>
      <c r="I31" s="62" t="inlineStr">
        <is>
          <t>Mönning</t>
        </is>
      </c>
      <c r="J31" s="30" t="inlineStr"/>
      <c r="K31" s="63" t="inlineStr">
        <is>
          <t>Redieker</t>
        </is>
      </c>
      <c r="L31" s="28" t="inlineStr">
        <is>
          <t>vs</t>
        </is>
      </c>
      <c r="M31" s="64" t="inlineStr">
        <is>
          <t>Höttinger</t>
        </is>
      </c>
      <c r="N31" s="30" t="inlineStr"/>
      <c r="O31" s="65" t="inlineStr">
        <is>
          <t>Trojanski</t>
        </is>
      </c>
      <c r="P31" s="66" t="inlineStr">
        <is>
          <t>van de Loo</t>
        </is>
      </c>
      <c r="Q31" s="28" t="inlineStr">
        <is>
          <t>vs</t>
        </is>
      </c>
      <c r="R31" s="67" t="inlineStr">
        <is>
          <t>Wojtanowtisch</t>
        </is>
      </c>
      <c r="S31" s="60" t="inlineStr">
        <is>
          <t>Knust</t>
        </is>
      </c>
      <c r="T31" s="25" t="inlineStr">
        <is>
          <t>Geplant</t>
        </is>
      </c>
      <c r="U31" s="38">
        <f>IF($C$3="ALLE", "JA", IF(COUNTIF(C31:S31, $C$3)&gt;0, "JA", "NEIN"))</f>
        <v/>
      </c>
    </row>
    <row r="32">
      <c r="A32" s="25" t="n">
        <v>26</v>
      </c>
      <c r="B32" s="95" t="n">
        <v>46476</v>
      </c>
      <c r="C32" s="61" t="inlineStr">
        <is>
          <t>Rumpf</t>
        </is>
      </c>
      <c r="D32" s="28" t="inlineStr">
        <is>
          <t>vs</t>
        </is>
      </c>
      <c r="E32" s="62" t="inlineStr">
        <is>
          <t>Mönning</t>
        </is>
      </c>
      <c r="F32" s="30" t="inlineStr"/>
      <c r="G32" s="63" t="inlineStr">
        <is>
          <t>Redieker</t>
        </is>
      </c>
      <c r="H32" s="28" t="inlineStr">
        <is>
          <t>vs</t>
        </is>
      </c>
      <c r="I32" s="64" t="inlineStr">
        <is>
          <t>Höttinger</t>
        </is>
      </c>
      <c r="J32" s="30" t="inlineStr"/>
      <c r="K32" s="68" t="inlineStr">
        <is>
          <t>Beumer</t>
        </is>
      </c>
      <c r="L32" s="28" t="inlineStr">
        <is>
          <t>vs</t>
        </is>
      </c>
      <c r="M32" s="69" t="inlineStr">
        <is>
          <t>Dedores</t>
        </is>
      </c>
      <c r="N32" s="30" t="inlineStr"/>
      <c r="O32" s="61" t="inlineStr">
        <is>
          <t>Rumpf</t>
        </is>
      </c>
      <c r="P32" s="70" t="inlineStr">
        <is>
          <t>Mönning</t>
        </is>
      </c>
      <c r="Q32" s="28" t="inlineStr">
        <is>
          <t>vs</t>
        </is>
      </c>
      <c r="R32" s="71" t="inlineStr">
        <is>
          <t>Redieker</t>
        </is>
      </c>
      <c r="S32" s="64" t="inlineStr">
        <is>
          <t>Höttinger</t>
        </is>
      </c>
      <c r="T32" s="25" t="inlineStr">
        <is>
          <t>Geplant</t>
        </is>
      </c>
      <c r="U32" s="38">
        <f>IF($C$3="ALLE", "JA", IF(COUNTIF(C32:S32, $C$3)&gt;0, "JA", "NEIN"))</f>
        <v/>
      </c>
    </row>
    <row r="33">
      <c r="A33" s="25" t="n">
        <v>27</v>
      </c>
      <c r="B33" s="95" t="n">
        <v>46483</v>
      </c>
      <c r="C33" s="63" t="inlineStr">
        <is>
          <t>Redieker</t>
        </is>
      </c>
      <c r="D33" s="28" t="inlineStr">
        <is>
          <t>vs</t>
        </is>
      </c>
      <c r="E33" s="64" t="inlineStr">
        <is>
          <t>Höttinger</t>
        </is>
      </c>
      <c r="F33" s="30" t="inlineStr"/>
      <c r="G33" s="68" t="inlineStr">
        <is>
          <t>Beumer</t>
        </is>
      </c>
      <c r="H33" s="28" t="inlineStr">
        <is>
          <t>vs</t>
        </is>
      </c>
      <c r="I33" s="69" t="inlineStr">
        <is>
          <t>Dedores</t>
        </is>
      </c>
      <c r="J33" s="30" t="inlineStr"/>
      <c r="K33" s="72" t="inlineStr">
        <is>
          <t>Heyn</t>
        </is>
      </c>
      <c r="L33" s="28" t="inlineStr">
        <is>
          <t>vs</t>
        </is>
      </c>
      <c r="M33" s="73" t="inlineStr">
        <is>
          <t>Hinz</t>
        </is>
      </c>
      <c r="N33" s="30" t="inlineStr"/>
      <c r="O33" s="68" t="inlineStr">
        <is>
          <t>Beumer</t>
        </is>
      </c>
      <c r="P33" s="74" t="inlineStr">
        <is>
          <t>Dedores</t>
        </is>
      </c>
      <c r="Q33" s="28" t="inlineStr">
        <is>
          <t>vs</t>
        </is>
      </c>
      <c r="R33" s="75" t="inlineStr">
        <is>
          <t>Heyn</t>
        </is>
      </c>
      <c r="S33" s="73" t="inlineStr">
        <is>
          <t>Hinz</t>
        </is>
      </c>
      <c r="T33" s="25" t="inlineStr">
        <is>
          <t>Geplant</t>
        </is>
      </c>
      <c r="U33" s="38">
        <f>IF($C$3="ALLE", "JA", IF(COUNTIF(C33:S33, $C$3)&gt;0, "JA", "NEIN"))</f>
        <v/>
      </c>
    </row>
    <row r="34">
      <c r="A34" s="25" t="n">
        <v>28</v>
      </c>
      <c r="B34" s="95" t="n">
        <v>46490</v>
      </c>
      <c r="C34" s="68" t="inlineStr">
        <is>
          <t>Beumer</t>
        </is>
      </c>
      <c r="D34" s="28" t="inlineStr">
        <is>
          <t>vs</t>
        </is>
      </c>
      <c r="E34" s="69" t="inlineStr">
        <is>
          <t>Dedores</t>
        </is>
      </c>
      <c r="F34" s="30" t="inlineStr"/>
      <c r="G34" s="72" t="inlineStr">
        <is>
          <t>Heyn</t>
        </is>
      </c>
      <c r="H34" s="28" t="inlineStr">
        <is>
          <t>vs</t>
        </is>
      </c>
      <c r="I34" s="73" t="inlineStr">
        <is>
          <t>Hinz</t>
        </is>
      </c>
      <c r="J34" s="30" t="inlineStr"/>
      <c r="K34" s="76" t="inlineStr">
        <is>
          <t>Kuhlhoff</t>
        </is>
      </c>
      <c r="L34" s="28" t="inlineStr">
        <is>
          <t>vs</t>
        </is>
      </c>
      <c r="M34" s="77" t="inlineStr">
        <is>
          <t>Marschollek</t>
        </is>
      </c>
      <c r="N34" s="30" t="inlineStr"/>
      <c r="O34" s="76" t="inlineStr">
        <is>
          <t>Kuhlhoff</t>
        </is>
      </c>
      <c r="P34" s="78" t="inlineStr">
        <is>
          <t>Marschollek</t>
        </is>
      </c>
      <c r="Q34" s="28" t="inlineStr">
        <is>
          <t>vs</t>
        </is>
      </c>
      <c r="R34" s="79" t="inlineStr">
        <is>
          <t>Nolte</t>
        </is>
      </c>
      <c r="S34" s="80" t="inlineStr">
        <is>
          <t>Weber</t>
        </is>
      </c>
      <c r="T34" s="25" t="inlineStr">
        <is>
          <t>Geplant</t>
        </is>
      </c>
      <c r="U34" s="38">
        <f>IF($C$3="ALLE", "JA", IF(COUNTIF(C34:S34, $C$3)&gt;0, "JA", "NEIN"))</f>
        <v/>
      </c>
    </row>
    <row r="35">
      <c r="A35" s="25" t="n">
        <v>29</v>
      </c>
      <c r="B35" s="95" t="n">
        <v>46497</v>
      </c>
      <c r="C35" s="72" t="inlineStr">
        <is>
          <t>Heyn</t>
        </is>
      </c>
      <c r="D35" s="28" t="inlineStr">
        <is>
          <t>vs</t>
        </is>
      </c>
      <c r="E35" s="73" t="inlineStr">
        <is>
          <t>Hinz</t>
        </is>
      </c>
      <c r="F35" s="30" t="inlineStr"/>
      <c r="G35" s="76" t="inlineStr">
        <is>
          <t>Kuhlhoff</t>
        </is>
      </c>
      <c r="H35" s="28" t="inlineStr">
        <is>
          <t>vs</t>
        </is>
      </c>
      <c r="I35" s="77" t="inlineStr">
        <is>
          <t>Marschollek</t>
        </is>
      </c>
      <c r="J35" s="30" t="inlineStr"/>
      <c r="K35" s="81" t="inlineStr">
        <is>
          <t>Nolte</t>
        </is>
      </c>
      <c r="L35" s="28" t="inlineStr">
        <is>
          <t>vs</t>
        </is>
      </c>
      <c r="M35" s="80" t="inlineStr">
        <is>
          <t>Weber</t>
        </is>
      </c>
      <c r="N35" s="30" t="inlineStr"/>
      <c r="O35" s="82" t="inlineStr">
        <is>
          <t>Prodehl</t>
        </is>
      </c>
      <c r="P35" s="83" t="inlineStr">
        <is>
          <t>Hansmann</t>
        </is>
      </c>
      <c r="Q35" s="28" t="inlineStr">
        <is>
          <t>vs</t>
        </is>
      </c>
      <c r="R35" s="84" t="inlineStr">
        <is>
          <t>Trojanski</t>
        </is>
      </c>
      <c r="S35" s="85" t="inlineStr">
        <is>
          <t>van de Loo</t>
        </is>
      </c>
      <c r="T35" s="25" t="inlineStr">
        <is>
          <t>Geplant</t>
        </is>
      </c>
      <c r="U35" s="38">
        <f>IF($C$3="ALLE", "JA", IF(COUNTIF(C35:S35, $C$3)&gt;0, "JA", "NEIN"))</f>
        <v/>
      </c>
    </row>
    <row r="36">
      <c r="A36" s="25" t="n">
        <v>30</v>
      </c>
      <c r="B36" s="95" t="n">
        <v>46504</v>
      </c>
      <c r="C36" s="76" t="inlineStr">
        <is>
          <t>Kuhlhoff</t>
        </is>
      </c>
      <c r="D36" s="28" t="inlineStr">
        <is>
          <t>vs</t>
        </is>
      </c>
      <c r="E36" s="77" t="inlineStr">
        <is>
          <t>Marschollek</t>
        </is>
      </c>
      <c r="F36" s="30" t="inlineStr"/>
      <c r="G36" s="81" t="inlineStr">
        <is>
          <t>Nolte</t>
        </is>
      </c>
      <c r="H36" s="28" t="inlineStr">
        <is>
          <t>vs</t>
        </is>
      </c>
      <c r="I36" s="80" t="inlineStr">
        <is>
          <t>Weber</t>
        </is>
      </c>
      <c r="J36" s="30" t="inlineStr"/>
      <c r="K36" s="82" t="inlineStr">
        <is>
          <t>Prodehl</t>
        </is>
      </c>
      <c r="L36" s="28" t="inlineStr">
        <is>
          <t>vs</t>
        </is>
      </c>
      <c r="M36" s="86" t="inlineStr">
        <is>
          <t>Hansmann</t>
        </is>
      </c>
      <c r="N36" s="30" t="inlineStr"/>
      <c r="O36" s="59" t="inlineStr">
        <is>
          <t>Wojtanowtisch</t>
        </is>
      </c>
      <c r="P36" s="87" t="inlineStr">
        <is>
          <t>Knust</t>
        </is>
      </c>
      <c r="Q36" s="28" t="inlineStr">
        <is>
          <t>vs</t>
        </is>
      </c>
      <c r="R36" s="88" t="inlineStr">
        <is>
          <t>Rumpf</t>
        </is>
      </c>
      <c r="S36" s="62" t="inlineStr">
        <is>
          <t>Mönning</t>
        </is>
      </c>
      <c r="T36" s="25" t="inlineStr">
        <is>
          <t>Geplant</t>
        </is>
      </c>
      <c r="U36" s="38">
        <f>IF($C$3="ALLE", "JA", IF(COUNTIF(C36:S36, $C$3)&gt;0, "JA", "NEIN"))</f>
        <v/>
      </c>
    </row>
  </sheetData>
  <autoFilter ref="A6:U36"/>
  <dataValidations count="1">
    <dataValidation sqref="C3" showDropDown="0" showInputMessage="0" showErrorMessage="0" allowBlank="1" type="list">
      <formula1>$V$3:$V$21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2026-09-06T22:00:30Z</dcterms:created>
  <dcterms:modified xsi:type="dcterms:W3CDTF">2026-09-08T11:56:11Z</dcterms:modified>
</cp:coreProperties>
</file>